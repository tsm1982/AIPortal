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80" activeTab="1"/>
  </bookViews>
  <sheets>
    <sheet name="Sheet1" sheetId="2" r:id="rId1"/>
    <sheet name="出差记录" sheetId="1" r:id="rId2"/>
  </sheets>
  <definedNames>
    <definedName name="_xlnm._FilterDatabase" localSheetId="1" hidden="1">出差记录!$A$1:$N$26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<sst xmlns="http://schemas.openxmlformats.org/spreadsheetml/2006/main" count="320" uniqueCount="86">
  <si>
    <t>姓名</t>
  </si>
  <si>
    <t>求和项:天数</t>
  </si>
  <si>
    <t>郭凡</t>
  </si>
  <si>
    <t>汪兴龙</t>
  </si>
  <si>
    <t>武尚霖</t>
  </si>
  <si>
    <t>总计</t>
  </si>
  <si>
    <t>序号</t>
  </si>
  <si>
    <t>工号</t>
  </si>
  <si>
    <t>部门</t>
  </si>
  <si>
    <t>出差开始日期</t>
  </si>
  <si>
    <t>出差结束日期</t>
  </si>
  <si>
    <t>天数</t>
  </si>
  <si>
    <t>出发城市</t>
  </si>
  <si>
    <t>目的城市</t>
  </si>
  <si>
    <t>返回城市</t>
  </si>
  <si>
    <t>交通方式</t>
  </si>
  <si>
    <t>出差事由</t>
  </si>
  <si>
    <t>费用所属</t>
  </si>
  <si>
    <t>住宿标准</t>
  </si>
  <si>
    <t>14854</t>
  </si>
  <si>
    <t>交付一部</t>
  </si>
  <si>
    <t>2026-01-04</t>
  </si>
  <si>
    <t>2026-01-31</t>
  </si>
  <si>
    <t>哈尔滨市</t>
  </si>
  <si>
    <t>北京市</t>
  </si>
  <si>
    <t>火车</t>
  </si>
  <si>
    <t>项目研发</t>
  </si>
  <si>
    <t>亚信中国/北京/亚信科技ACC</t>
  </si>
  <si>
    <t>260 CNY/天</t>
  </si>
  <si>
    <t>2026-02-12</t>
  </si>
  <si>
    <t>珠海市</t>
  </si>
  <si>
    <t>项目研发1</t>
  </si>
  <si>
    <t>亚信中国/北京/亚信科技AID</t>
  </si>
  <si>
    <t>2026-02-27</t>
  </si>
  <si>
    <t>2026-03-14</t>
  </si>
  <si>
    <t>飞机</t>
  </si>
  <si>
    <t>国能火电项目</t>
  </si>
  <si>
    <t>2026-03-28</t>
  </si>
  <si>
    <t>其他</t>
  </si>
  <si>
    <t>国能火电大模型开发</t>
  </si>
  <si>
    <t>2026-04-12</t>
  </si>
  <si>
    <t>2026-04-19</t>
  </si>
  <si>
    <t>-</t>
  </si>
  <si>
    <t>12243</t>
  </si>
  <si>
    <t>2026-01-09</t>
  </si>
  <si>
    <t>昆明市</t>
  </si>
  <si>
    <t>南阳市</t>
  </si>
  <si>
    <t>广州亚信/广州/亚信科技AID</t>
  </si>
  <si>
    <t>2026-01-29</t>
  </si>
  <si>
    <t>2026-02-01</t>
  </si>
  <si>
    <t>南京市</t>
  </si>
  <si>
    <t>参加Kick off会议</t>
  </si>
  <si>
    <t>2026-02-02</t>
  </si>
  <si>
    <t>2026-02-06</t>
  </si>
  <si>
    <t>嘉兴市</t>
  </si>
  <si>
    <t>火车/飞机</t>
  </si>
  <si>
    <t>大修项目</t>
  </si>
  <si>
    <t>2026-03-08</t>
  </si>
  <si>
    <t>飞机/火车</t>
  </si>
  <si>
    <t>南阳牧原项目</t>
  </si>
  <si>
    <t>220 CNY/天</t>
  </si>
  <si>
    <t>2026-04-02</t>
  </si>
  <si>
    <t>240 CNY/天</t>
  </si>
  <si>
    <t>2026-04-07</t>
  </si>
  <si>
    <t>2026-04-18</t>
  </si>
  <si>
    <t>牧原项目</t>
  </si>
  <si>
    <t>104119</t>
  </si>
  <si>
    <t>2025-12-22</t>
  </si>
  <si>
    <t>2025-12-26</t>
  </si>
  <si>
    <t>忻州市</t>
  </si>
  <si>
    <t>上海市</t>
  </si>
  <si>
    <t>上铁项目支持</t>
  </si>
  <si>
    <t>2026-01-05</t>
  </si>
  <si>
    <t>太原市</t>
  </si>
  <si>
    <t>项目支持</t>
  </si>
  <si>
    <t>2026-01-13</t>
  </si>
  <si>
    <t>2026-01-20</t>
  </si>
  <si>
    <t>2026-01-27</t>
  </si>
  <si>
    <t>2026-03-19</t>
  </si>
  <si>
    <t>2026-03-23</t>
  </si>
  <si>
    <t>2026-03-27</t>
  </si>
  <si>
    <t>2026-04-03</t>
  </si>
  <si>
    <t>2026-04-10</t>
  </si>
  <si>
    <t>2026-04-30</t>
  </si>
  <si>
    <t>2026-04-11</t>
  </si>
  <si>
    <t>项目支撑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</si>
</sst>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7.9159722222" refreshedBy="aluya" recordCount="25">
  <cacheSource type="worksheet">
    <worksheetSource ref="A1:N26" sheet="出差记录"/>
  </cacheSource>
  <cacheFields count="14">
    <cacheField name="序号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姓名" numFmtId="0">
      <sharedItems count="3">
        <s v="郭凡"/>
        <s v="汪兴龙"/>
        <s v="武尚霖"/>
      </sharedItems>
    </cacheField>
    <cacheField name="工号" numFmtId="0">
      <sharedItems count="3">
        <s v="14854"/>
        <s v="12243"/>
        <s v="104119"/>
      </sharedItems>
    </cacheField>
    <cacheField name="部门" numFmtId="0">
      <sharedItems count="1">
        <s v="交付一部"/>
      </sharedItems>
    </cacheField>
    <cacheField name="出差开始日期" numFmtId="0">
      <sharedItems count="21">
        <s v="2026-01-04"/>
        <s v="2026-01-31"/>
        <s v="2026-02-27"/>
        <s v="2026-03-14"/>
        <s v="2026-03-28"/>
        <s v="2026-04-12"/>
        <s v="2026-01-29"/>
        <s v="2026-02-02"/>
        <s v="2026-03-08"/>
        <s v="2026-04-07"/>
        <s v="2025-12-22"/>
        <s v="2026-01-05"/>
        <s v="2026-01-09"/>
        <s v="2026-01-13"/>
        <s v="2026-01-20"/>
        <s v="2026-01-27"/>
        <s v="2026-02-06"/>
        <s v="2026-03-23"/>
        <s v="2026-03-27"/>
        <s v="2026-04-10"/>
        <s v="2026-04-11"/>
      </sharedItems>
    </cacheField>
    <cacheField name="出差结束日期" numFmtId="0">
      <sharedItems count="20">
        <s v="2026-01-31"/>
        <s v="2026-02-12"/>
        <s v="2026-03-14"/>
        <s v="2026-03-28"/>
        <s v="2026-04-12"/>
        <s v="2026-04-19"/>
        <s v="2026-01-09"/>
        <s v="2026-02-01"/>
        <s v="2026-02-06"/>
        <s v="2026-04-02"/>
        <s v="2026-04-18"/>
        <s v="2025-12-26"/>
        <s v="2026-01-05"/>
        <s v="2026-01-13"/>
        <s v="2026-01-20"/>
        <s v="2026-01-27"/>
        <s v="2026-03-19"/>
        <s v="2026-03-27"/>
        <s v="2026-04-03"/>
        <s v="2026-04-30"/>
      </sharedItems>
    </cacheField>
    <cacheField name="天数" numFmtId="0">
      <sharedItems containsSemiMixedTypes="0" containsString="0" containsNumber="1" containsInteger="1" minValue="2" maxValue="28" count="14">
        <n v="28"/>
        <n v="13"/>
        <n v="16"/>
        <n v="15"/>
        <n v="8"/>
        <n v="6"/>
        <n v="4"/>
        <n v="5"/>
        <n v="21"/>
        <n v="12"/>
        <n v="2"/>
        <n v="11"/>
        <n v="7"/>
        <n v="9"/>
      </sharedItems>
    </cacheField>
    <cacheField name="出发城市" numFmtId="0">
      <sharedItems count="6">
        <s v="哈尔滨市"/>
        <s v="珠海市"/>
        <s v="昆明市"/>
        <s v="南京市"/>
        <s v="忻州市"/>
        <s v="太原市"/>
      </sharedItems>
    </cacheField>
    <cacheField name="目的城市" numFmtId="0">
      <sharedItems count="5">
        <s v="北京市"/>
        <s v="南阳市"/>
        <s v="嘉兴市"/>
        <s v="上海市"/>
        <s v="南京市"/>
      </sharedItems>
    </cacheField>
    <cacheField name="返回城市" numFmtId="0">
      <sharedItems count="7">
        <s v="哈尔滨市"/>
        <s v="珠海市"/>
        <s v="-"/>
        <s v="南京市"/>
        <s v="昆明市"/>
        <s v="忻州市"/>
        <s v="太原市"/>
      </sharedItems>
    </cacheField>
    <cacheField name="交通方式" numFmtId="0">
      <sharedItems count="5">
        <s v="火车"/>
        <s v="飞机"/>
        <s v="其他"/>
        <s v="火车/飞机"/>
        <s v="飞机/火车"/>
      </sharedItems>
    </cacheField>
    <cacheField name="出差事由" numFmtId="0">
      <sharedItems count="11">
        <s v="项目研发"/>
        <s v="项目研发1"/>
        <s v="国能火电项目"/>
        <s v="国能火电大模型开发"/>
        <s v="参加Kick off会议"/>
        <s v="大修项目"/>
        <s v="南阳牧原项目"/>
        <s v="牧原项目"/>
        <s v="上铁项目支持"/>
        <s v="项目支持"/>
        <s v="项目支撑"/>
      </sharedItems>
    </cacheField>
    <cacheField name="费用所属" numFmtId="0">
      <sharedItems count="3">
        <s v="亚信中国/北京/亚信科技ACC"/>
        <s v="亚信中国/北京/亚信科技AID"/>
        <s v="广州亚信/广州/亚信科技AID"/>
      </sharedItems>
    </cacheField>
    <cacheField name="住宿标准" numFmtId="0">
      <sharedItems count="3">
        <s v="260 CNY/天"/>
        <s v="220 CNY/天"/>
        <s v="240 CNY/天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1"/>
    <x v="1"/>
    <x v="1"/>
    <x v="0"/>
    <x v="0"/>
    <x v="1"/>
    <x v="0"/>
    <x v="1"/>
    <x v="1"/>
    <x v="0"/>
  </r>
  <r>
    <x v="2"/>
    <x v="0"/>
    <x v="0"/>
    <x v="0"/>
    <x v="2"/>
    <x v="2"/>
    <x v="2"/>
    <x v="1"/>
    <x v="0"/>
    <x v="1"/>
    <x v="1"/>
    <x v="2"/>
    <x v="1"/>
    <x v="0"/>
  </r>
  <r>
    <x v="3"/>
    <x v="0"/>
    <x v="0"/>
    <x v="0"/>
    <x v="3"/>
    <x v="3"/>
    <x v="3"/>
    <x v="0"/>
    <x v="0"/>
    <x v="0"/>
    <x v="2"/>
    <x v="3"/>
    <x v="1"/>
    <x v="0"/>
  </r>
  <r>
    <x v="4"/>
    <x v="0"/>
    <x v="0"/>
    <x v="0"/>
    <x v="4"/>
    <x v="4"/>
    <x v="2"/>
    <x v="0"/>
    <x v="0"/>
    <x v="0"/>
    <x v="2"/>
    <x v="3"/>
    <x v="1"/>
    <x v="0"/>
  </r>
  <r>
    <x v="5"/>
    <x v="0"/>
    <x v="0"/>
    <x v="0"/>
    <x v="5"/>
    <x v="5"/>
    <x v="4"/>
    <x v="0"/>
    <x v="0"/>
    <x v="2"/>
    <x v="2"/>
    <x v="3"/>
    <x v="1"/>
    <x v="0"/>
  </r>
  <r>
    <x v="6"/>
    <x v="1"/>
    <x v="1"/>
    <x v="0"/>
    <x v="0"/>
    <x v="6"/>
    <x v="5"/>
    <x v="2"/>
    <x v="1"/>
    <x v="2"/>
    <x v="1"/>
    <x v="0"/>
    <x v="2"/>
    <x v="0"/>
  </r>
  <r>
    <x v="7"/>
    <x v="1"/>
    <x v="1"/>
    <x v="0"/>
    <x v="6"/>
    <x v="7"/>
    <x v="6"/>
    <x v="3"/>
    <x v="0"/>
    <x v="3"/>
    <x v="0"/>
    <x v="4"/>
    <x v="2"/>
    <x v="0"/>
  </r>
  <r>
    <x v="8"/>
    <x v="1"/>
    <x v="1"/>
    <x v="0"/>
    <x v="7"/>
    <x v="8"/>
    <x v="7"/>
    <x v="3"/>
    <x v="2"/>
    <x v="4"/>
    <x v="3"/>
    <x v="5"/>
    <x v="1"/>
    <x v="0"/>
  </r>
  <r>
    <x v="9"/>
    <x v="1"/>
    <x v="1"/>
    <x v="0"/>
    <x v="8"/>
    <x v="3"/>
    <x v="8"/>
    <x v="2"/>
    <x v="1"/>
    <x v="2"/>
    <x v="4"/>
    <x v="6"/>
    <x v="2"/>
    <x v="1"/>
  </r>
  <r>
    <x v="10"/>
    <x v="1"/>
    <x v="1"/>
    <x v="0"/>
    <x v="4"/>
    <x v="9"/>
    <x v="5"/>
    <x v="2"/>
    <x v="1"/>
    <x v="4"/>
    <x v="1"/>
    <x v="6"/>
    <x v="2"/>
    <x v="2"/>
  </r>
  <r>
    <x v="11"/>
    <x v="1"/>
    <x v="1"/>
    <x v="0"/>
    <x v="9"/>
    <x v="10"/>
    <x v="9"/>
    <x v="2"/>
    <x v="1"/>
    <x v="4"/>
    <x v="1"/>
    <x v="7"/>
    <x v="2"/>
    <x v="0"/>
  </r>
  <r>
    <x v="12"/>
    <x v="2"/>
    <x v="2"/>
    <x v="0"/>
    <x v="10"/>
    <x v="11"/>
    <x v="7"/>
    <x v="4"/>
    <x v="3"/>
    <x v="5"/>
    <x v="2"/>
    <x v="8"/>
    <x v="0"/>
    <x v="0"/>
  </r>
  <r>
    <x v="13"/>
    <x v="2"/>
    <x v="2"/>
    <x v="0"/>
    <x v="0"/>
    <x v="12"/>
    <x v="10"/>
    <x v="5"/>
    <x v="4"/>
    <x v="2"/>
    <x v="1"/>
    <x v="9"/>
    <x v="1"/>
    <x v="0"/>
  </r>
  <r>
    <x v="14"/>
    <x v="2"/>
    <x v="2"/>
    <x v="0"/>
    <x v="11"/>
    <x v="6"/>
    <x v="7"/>
    <x v="5"/>
    <x v="4"/>
    <x v="6"/>
    <x v="2"/>
    <x v="8"/>
    <x v="1"/>
    <x v="0"/>
  </r>
  <r>
    <x v="15"/>
    <x v="2"/>
    <x v="2"/>
    <x v="0"/>
    <x v="12"/>
    <x v="13"/>
    <x v="7"/>
    <x v="5"/>
    <x v="4"/>
    <x v="2"/>
    <x v="2"/>
    <x v="8"/>
    <x v="1"/>
    <x v="0"/>
  </r>
  <r>
    <x v="16"/>
    <x v="2"/>
    <x v="2"/>
    <x v="0"/>
    <x v="13"/>
    <x v="14"/>
    <x v="4"/>
    <x v="5"/>
    <x v="4"/>
    <x v="2"/>
    <x v="2"/>
    <x v="8"/>
    <x v="1"/>
    <x v="0"/>
  </r>
  <r>
    <x v="17"/>
    <x v="2"/>
    <x v="2"/>
    <x v="0"/>
    <x v="14"/>
    <x v="15"/>
    <x v="4"/>
    <x v="5"/>
    <x v="4"/>
    <x v="2"/>
    <x v="2"/>
    <x v="8"/>
    <x v="1"/>
    <x v="0"/>
  </r>
  <r>
    <x v="18"/>
    <x v="2"/>
    <x v="2"/>
    <x v="0"/>
    <x v="15"/>
    <x v="8"/>
    <x v="11"/>
    <x v="5"/>
    <x v="4"/>
    <x v="2"/>
    <x v="2"/>
    <x v="8"/>
    <x v="1"/>
    <x v="0"/>
  </r>
  <r>
    <x v="19"/>
    <x v="2"/>
    <x v="2"/>
    <x v="0"/>
    <x v="16"/>
    <x v="1"/>
    <x v="12"/>
    <x v="5"/>
    <x v="4"/>
    <x v="6"/>
    <x v="2"/>
    <x v="8"/>
    <x v="1"/>
    <x v="0"/>
  </r>
  <r>
    <x v="20"/>
    <x v="2"/>
    <x v="2"/>
    <x v="0"/>
    <x v="2"/>
    <x v="16"/>
    <x v="8"/>
    <x v="5"/>
    <x v="4"/>
    <x v="6"/>
    <x v="1"/>
    <x v="8"/>
    <x v="1"/>
    <x v="0"/>
  </r>
  <r>
    <x v="21"/>
    <x v="2"/>
    <x v="2"/>
    <x v="0"/>
    <x v="17"/>
    <x v="17"/>
    <x v="7"/>
    <x v="5"/>
    <x v="4"/>
    <x v="6"/>
    <x v="1"/>
    <x v="8"/>
    <x v="1"/>
    <x v="0"/>
  </r>
  <r>
    <x v="22"/>
    <x v="2"/>
    <x v="2"/>
    <x v="0"/>
    <x v="18"/>
    <x v="18"/>
    <x v="4"/>
    <x v="5"/>
    <x v="4"/>
    <x v="6"/>
    <x v="2"/>
    <x v="8"/>
    <x v="1"/>
    <x v="0"/>
  </r>
  <r>
    <x v="23"/>
    <x v="2"/>
    <x v="2"/>
    <x v="0"/>
    <x v="19"/>
    <x v="19"/>
    <x v="8"/>
    <x v="5"/>
    <x v="4"/>
    <x v="6"/>
    <x v="2"/>
    <x v="8"/>
    <x v="1"/>
    <x v="0"/>
  </r>
  <r>
    <x v="24"/>
    <x v="2"/>
    <x v="2"/>
    <x v="0"/>
    <x v="20"/>
    <x v="5"/>
    <x v="13"/>
    <x v="3"/>
    <x v="0"/>
    <x v="3"/>
    <x v="0"/>
    <x v="1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4"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天数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7"/>
  <sheetViews>
    <sheetView workbookViewId="0">
      <selection activeCell="F3" sqref="F3"/>
    </sheetView>
  </sheetViews>
  <sheetFormatPr defaultColWidth="9.23076923076923" defaultRowHeight="16.8" outlineLevelRow="6" outlineLevelCol="5"/>
  <cols>
    <col min="1" max="1" width="8.15384615384615"/>
    <col min="2" max="2" width="13.2307692307692"/>
  </cols>
  <sheetData>
    <row r="3" spans="1:6">
      <c r="A3" t="s">
        <v>0</v>
      </c>
      <c r="B3" t="s">
        <v>1</v>
      </c>
      <c r="C3"/>
      <c r="F3">
        <f ca="1">NETWORKDAYS("2026-01-04",NOW())</f>
        <v>79</v>
      </c>
    </row>
    <row r="4" spans="1:6">
      <c r="A4" t="s">
        <v>2</v>
      </c>
      <c r="B4">
        <v>96</v>
      </c>
    </row>
    <row r="5" spans="1:6">
      <c r="A5" t="s">
        <v>3</v>
      </c>
      <c r="B5">
        <v>54</v>
      </c>
    </row>
    <row r="6" spans="1:6">
      <c r="A6" t="s">
        <v>4</v>
      </c>
      <c r="B6">
        <v>115</v>
      </c>
    </row>
    <row r="7" spans="1:6">
      <c r="A7" t="s">
        <v>5</v>
      </c>
      <c r="B7">
        <v>265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K17" sqref="K17"/>
    </sheetView>
  </sheetViews>
  <sheetFormatPr defaultColWidth="9" defaultRowHeight="16.8"/>
  <cols>
    <col min="1" max="1" width="6" customWidth="1"/>
    <col min="2" max="3" width="10" customWidth="1"/>
    <col min="4" max="4" width="12" customWidth="1"/>
    <col min="5" max="6" width="16" customWidth="1"/>
    <col min="7" max="7" width="8" customWidth="1"/>
    <col min="8" max="11" width="12" customWidth="1"/>
    <col min="12" max="12" width="25" customWidth="1"/>
    <col min="13" max="13" width="30" customWidth="1"/>
    <col min="14" max="14" width="15" customWidth="1"/>
  </cols>
  <sheetData>
    <row r="1" ht="25" customHeight="1" spans="1:14">
      <c r="A1" s="1" t="s">
        <v>6</v>
      </c>
      <c r="B1" s="1" t="s">
        <v>0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ht="17" spans="1:14">
      <c r="A2" s="2">
        <v>1</v>
      </c>
      <c r="B2" s="2" t="s">
        <v>2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28</v>
      </c>
      <c r="H2" s="2" t="s">
        <v>23</v>
      </c>
      <c r="I2" s="2" t="s">
        <v>24</v>
      </c>
      <c r="J2" s="3" t="s">
        <v>23</v>
      </c>
      <c r="K2" s="2" t="s">
        <v>25</v>
      </c>
      <c r="L2" s="3" t="s">
        <v>26</v>
      </c>
      <c r="M2" s="3" t="s">
        <v>27</v>
      </c>
      <c r="N2" s="3" t="s">
        <v>28</v>
      </c>
    </row>
    <row r="3" ht="17" spans="1:14">
      <c r="A3" s="2">
        <v>2</v>
      </c>
      <c r="B3" s="2" t="s">
        <v>2</v>
      </c>
      <c r="C3" s="2" t="s">
        <v>19</v>
      </c>
      <c r="D3" s="2" t="s">
        <v>20</v>
      </c>
      <c r="E3" s="2" t="s">
        <v>22</v>
      </c>
      <c r="F3" s="2" t="s">
        <v>29</v>
      </c>
      <c r="G3" s="2">
        <v>13</v>
      </c>
      <c r="H3" s="2" t="s">
        <v>23</v>
      </c>
      <c r="I3" s="2" t="s">
        <v>24</v>
      </c>
      <c r="J3" s="3" t="s">
        <v>30</v>
      </c>
      <c r="K3" s="2" t="s">
        <v>25</v>
      </c>
      <c r="L3" s="3" t="s">
        <v>31</v>
      </c>
      <c r="M3" s="3" t="s">
        <v>32</v>
      </c>
      <c r="N3" s="3" t="s">
        <v>28</v>
      </c>
    </row>
    <row r="4" ht="17" spans="1:14">
      <c r="A4" s="2">
        <v>3</v>
      </c>
      <c r="B4" s="2" t="s">
        <v>2</v>
      </c>
      <c r="C4" s="2" t="s">
        <v>19</v>
      </c>
      <c r="D4" s="2" t="s">
        <v>20</v>
      </c>
      <c r="E4" s="2" t="s">
        <v>33</v>
      </c>
      <c r="F4" s="2" t="s">
        <v>34</v>
      </c>
      <c r="G4" s="2">
        <v>16</v>
      </c>
      <c r="H4" s="2" t="s">
        <v>30</v>
      </c>
      <c r="I4" s="2" t="s">
        <v>24</v>
      </c>
      <c r="J4" s="3" t="s">
        <v>30</v>
      </c>
      <c r="K4" s="2" t="s">
        <v>35</v>
      </c>
      <c r="L4" s="3" t="s">
        <v>36</v>
      </c>
      <c r="M4" s="3" t="s">
        <v>32</v>
      </c>
      <c r="N4" s="3" t="s">
        <v>28</v>
      </c>
    </row>
    <row r="5" ht="17" spans="1:14">
      <c r="A5" s="2">
        <v>4</v>
      </c>
      <c r="B5" s="2" t="s">
        <v>2</v>
      </c>
      <c r="C5" s="2" t="s">
        <v>19</v>
      </c>
      <c r="D5" s="2" t="s">
        <v>20</v>
      </c>
      <c r="E5" s="2" t="s">
        <v>34</v>
      </c>
      <c r="F5" s="2" t="s">
        <v>37</v>
      </c>
      <c r="G5" s="2">
        <v>15</v>
      </c>
      <c r="H5" s="2" t="s">
        <v>23</v>
      </c>
      <c r="I5" s="2" t="s">
        <v>24</v>
      </c>
      <c r="J5" s="3" t="s">
        <v>23</v>
      </c>
      <c r="K5" s="2" t="s">
        <v>38</v>
      </c>
      <c r="L5" s="3" t="s">
        <v>39</v>
      </c>
      <c r="M5" s="3" t="s">
        <v>32</v>
      </c>
      <c r="N5" s="3" t="s">
        <v>28</v>
      </c>
    </row>
    <row r="6" ht="17" spans="1:14">
      <c r="A6" s="2">
        <v>5</v>
      </c>
      <c r="B6" s="2" t="s">
        <v>2</v>
      </c>
      <c r="C6" s="2" t="s">
        <v>19</v>
      </c>
      <c r="D6" s="2" t="s">
        <v>20</v>
      </c>
      <c r="E6" s="2" t="s">
        <v>37</v>
      </c>
      <c r="F6" s="2" t="s">
        <v>40</v>
      </c>
      <c r="G6" s="2">
        <v>16</v>
      </c>
      <c r="H6" s="2" t="s">
        <v>23</v>
      </c>
      <c r="I6" s="2" t="s">
        <v>24</v>
      </c>
      <c r="J6" s="3" t="s">
        <v>23</v>
      </c>
      <c r="K6" s="2" t="s">
        <v>38</v>
      </c>
      <c r="L6" s="3" t="s">
        <v>39</v>
      </c>
      <c r="M6" s="3" t="s">
        <v>32</v>
      </c>
      <c r="N6" s="3" t="s">
        <v>28</v>
      </c>
    </row>
    <row r="7" ht="17" spans="1:14">
      <c r="A7" s="2">
        <v>6</v>
      </c>
      <c r="B7" s="2" t="s">
        <v>2</v>
      </c>
      <c r="C7" s="2" t="s">
        <v>19</v>
      </c>
      <c r="D7" s="2" t="s">
        <v>20</v>
      </c>
      <c r="E7" s="2" t="s">
        <v>40</v>
      </c>
      <c r="F7" s="2" t="s">
        <v>41</v>
      </c>
      <c r="G7" s="2">
        <v>8</v>
      </c>
      <c r="H7" s="2" t="s">
        <v>23</v>
      </c>
      <c r="I7" s="2" t="s">
        <v>24</v>
      </c>
      <c r="J7" s="3" t="s">
        <v>42</v>
      </c>
      <c r="K7" s="2" t="s">
        <v>38</v>
      </c>
      <c r="L7" s="3" t="s">
        <v>39</v>
      </c>
      <c r="M7" s="3" t="s">
        <v>32</v>
      </c>
      <c r="N7" s="3" t="s">
        <v>28</v>
      </c>
    </row>
    <row r="8" ht="17" spans="1:14">
      <c r="A8" s="2">
        <v>7</v>
      </c>
      <c r="B8" s="2" t="s">
        <v>3</v>
      </c>
      <c r="C8" s="2" t="s">
        <v>43</v>
      </c>
      <c r="D8" s="2" t="s">
        <v>20</v>
      </c>
      <c r="E8" s="2" t="s">
        <v>21</v>
      </c>
      <c r="F8" s="2" t="s">
        <v>44</v>
      </c>
      <c r="G8" s="2">
        <v>6</v>
      </c>
      <c r="H8" s="2" t="s">
        <v>45</v>
      </c>
      <c r="I8" s="2" t="s">
        <v>46</v>
      </c>
      <c r="J8" s="3" t="s">
        <v>42</v>
      </c>
      <c r="K8" s="2" t="s">
        <v>35</v>
      </c>
      <c r="L8" s="3" t="s">
        <v>26</v>
      </c>
      <c r="M8" s="3" t="s">
        <v>47</v>
      </c>
      <c r="N8" s="3" t="s">
        <v>28</v>
      </c>
    </row>
    <row r="9" ht="17" spans="1:14">
      <c r="A9" s="2">
        <v>8</v>
      </c>
      <c r="B9" s="2" t="s">
        <v>3</v>
      </c>
      <c r="C9" s="2" t="s">
        <v>43</v>
      </c>
      <c r="D9" s="2" t="s">
        <v>20</v>
      </c>
      <c r="E9" s="2" t="s">
        <v>48</v>
      </c>
      <c r="F9" s="2" t="s">
        <v>49</v>
      </c>
      <c r="G9" s="2">
        <v>4</v>
      </c>
      <c r="H9" s="2" t="s">
        <v>50</v>
      </c>
      <c r="I9" s="2" t="s">
        <v>24</v>
      </c>
      <c r="J9" s="3" t="s">
        <v>50</v>
      </c>
      <c r="K9" s="2" t="s">
        <v>25</v>
      </c>
      <c r="L9" s="3" t="s">
        <v>51</v>
      </c>
      <c r="M9" s="3" t="s">
        <v>47</v>
      </c>
      <c r="N9" s="3" t="s">
        <v>28</v>
      </c>
    </row>
    <row r="10" ht="17" spans="1:14">
      <c r="A10" s="2">
        <v>9</v>
      </c>
      <c r="B10" s="2" t="s">
        <v>3</v>
      </c>
      <c r="C10" s="2" t="s">
        <v>43</v>
      </c>
      <c r="D10" s="2" t="s">
        <v>20</v>
      </c>
      <c r="E10" s="2" t="s">
        <v>52</v>
      </c>
      <c r="F10" s="2" t="s">
        <v>53</v>
      </c>
      <c r="G10" s="2">
        <v>5</v>
      </c>
      <c r="H10" s="2" t="s">
        <v>50</v>
      </c>
      <c r="I10" s="2" t="s">
        <v>54</v>
      </c>
      <c r="J10" s="3" t="s">
        <v>45</v>
      </c>
      <c r="K10" s="2" t="s">
        <v>55</v>
      </c>
      <c r="L10" s="3" t="s">
        <v>56</v>
      </c>
      <c r="M10" s="3" t="s">
        <v>32</v>
      </c>
      <c r="N10" s="3" t="s">
        <v>28</v>
      </c>
    </row>
    <row r="11" ht="17" spans="1:14">
      <c r="A11" s="2">
        <v>10</v>
      </c>
      <c r="B11" s="2" t="s">
        <v>3</v>
      </c>
      <c r="C11" s="2" t="s">
        <v>43</v>
      </c>
      <c r="D11" s="2" t="s">
        <v>20</v>
      </c>
      <c r="E11" s="2" t="s">
        <v>57</v>
      </c>
      <c r="F11" s="2" t="s">
        <v>37</v>
      </c>
      <c r="G11" s="2">
        <v>21</v>
      </c>
      <c r="H11" s="2" t="s">
        <v>45</v>
      </c>
      <c r="I11" s="2" t="s">
        <v>46</v>
      </c>
      <c r="J11" s="3" t="s">
        <v>42</v>
      </c>
      <c r="K11" s="2" t="s">
        <v>58</v>
      </c>
      <c r="L11" s="3" t="s">
        <v>59</v>
      </c>
      <c r="M11" s="3" t="s">
        <v>47</v>
      </c>
      <c r="N11" s="3" t="s">
        <v>60</v>
      </c>
    </row>
    <row r="12" ht="17" spans="1:14">
      <c r="A12" s="2">
        <v>11</v>
      </c>
      <c r="B12" s="2" t="s">
        <v>3</v>
      </c>
      <c r="C12" s="2" t="s">
        <v>43</v>
      </c>
      <c r="D12" s="2" t="s">
        <v>20</v>
      </c>
      <c r="E12" s="2" t="s">
        <v>37</v>
      </c>
      <c r="F12" s="2" t="s">
        <v>61</v>
      </c>
      <c r="G12" s="2">
        <v>6</v>
      </c>
      <c r="H12" s="2" t="s">
        <v>45</v>
      </c>
      <c r="I12" s="2" t="s">
        <v>46</v>
      </c>
      <c r="J12" s="3" t="s">
        <v>45</v>
      </c>
      <c r="K12" s="2" t="s">
        <v>35</v>
      </c>
      <c r="L12" s="3" t="s">
        <v>59</v>
      </c>
      <c r="M12" s="3" t="s">
        <v>47</v>
      </c>
      <c r="N12" s="3" t="s">
        <v>62</v>
      </c>
    </row>
    <row r="13" ht="17" spans="1:14">
      <c r="A13" s="2">
        <v>12</v>
      </c>
      <c r="B13" s="2" t="s">
        <v>3</v>
      </c>
      <c r="C13" s="2" t="s">
        <v>43</v>
      </c>
      <c r="D13" s="2" t="s">
        <v>20</v>
      </c>
      <c r="E13" s="2" t="s">
        <v>63</v>
      </c>
      <c r="F13" s="2" t="s">
        <v>64</v>
      </c>
      <c r="G13" s="2">
        <v>12</v>
      </c>
      <c r="H13" s="2" t="s">
        <v>45</v>
      </c>
      <c r="I13" s="2" t="s">
        <v>46</v>
      </c>
      <c r="J13" s="3" t="s">
        <v>45</v>
      </c>
      <c r="K13" s="2" t="s">
        <v>35</v>
      </c>
      <c r="L13" s="3" t="s">
        <v>65</v>
      </c>
      <c r="M13" s="3" t="s">
        <v>47</v>
      </c>
      <c r="N13" s="3" t="s">
        <v>28</v>
      </c>
    </row>
    <row r="14" ht="17" spans="1:14">
      <c r="A14" s="2">
        <v>13</v>
      </c>
      <c r="B14" s="2" t="s">
        <v>4</v>
      </c>
      <c r="C14" s="2" t="s">
        <v>66</v>
      </c>
      <c r="D14" s="2" t="s">
        <v>20</v>
      </c>
      <c r="E14" s="2" t="s">
        <v>67</v>
      </c>
      <c r="F14" s="2" t="s">
        <v>68</v>
      </c>
      <c r="G14" s="2">
        <v>5</v>
      </c>
      <c r="H14" s="2" t="s">
        <v>69</v>
      </c>
      <c r="I14" s="2" t="s">
        <v>70</v>
      </c>
      <c r="J14" s="3" t="s">
        <v>69</v>
      </c>
      <c r="K14" s="2" t="s">
        <v>38</v>
      </c>
      <c r="L14" s="3" t="s">
        <v>71</v>
      </c>
      <c r="M14" s="3" t="s">
        <v>27</v>
      </c>
      <c r="N14" s="3" t="s">
        <v>28</v>
      </c>
    </row>
    <row r="15" ht="17" spans="1:14">
      <c r="A15" s="2">
        <v>14</v>
      </c>
      <c r="B15" s="2" t="s">
        <v>4</v>
      </c>
      <c r="C15" s="2" t="s">
        <v>66</v>
      </c>
      <c r="D15" s="2" t="s">
        <v>20</v>
      </c>
      <c r="E15" s="2" t="s">
        <v>21</v>
      </c>
      <c r="F15" s="2" t="s">
        <v>72</v>
      </c>
      <c r="G15" s="2">
        <v>2</v>
      </c>
      <c r="H15" s="2" t="s">
        <v>73</v>
      </c>
      <c r="I15" s="2" t="s">
        <v>50</v>
      </c>
      <c r="J15" s="3" t="s">
        <v>42</v>
      </c>
      <c r="K15" s="2" t="s">
        <v>35</v>
      </c>
      <c r="L15" s="3" t="s">
        <v>74</v>
      </c>
      <c r="M15" s="3" t="s">
        <v>32</v>
      </c>
      <c r="N15" s="3" t="s">
        <v>28</v>
      </c>
    </row>
    <row r="16" ht="17" spans="1:14">
      <c r="A16" s="2">
        <v>15</v>
      </c>
      <c r="B16" s="2" t="s">
        <v>4</v>
      </c>
      <c r="C16" s="2" t="s">
        <v>66</v>
      </c>
      <c r="D16" s="2" t="s">
        <v>20</v>
      </c>
      <c r="E16" s="2" t="s">
        <v>72</v>
      </c>
      <c r="F16" s="2" t="s">
        <v>44</v>
      </c>
      <c r="G16" s="2">
        <v>5</v>
      </c>
      <c r="H16" s="2" t="s">
        <v>73</v>
      </c>
      <c r="I16" s="2" t="s">
        <v>50</v>
      </c>
      <c r="J16" s="3" t="s">
        <v>73</v>
      </c>
      <c r="K16" s="2" t="s">
        <v>38</v>
      </c>
      <c r="L16" s="3" t="s">
        <v>71</v>
      </c>
      <c r="M16" s="3" t="s">
        <v>32</v>
      </c>
      <c r="N16" s="3" t="s">
        <v>28</v>
      </c>
    </row>
    <row r="17" ht="17" spans="1:14">
      <c r="A17" s="2">
        <v>16</v>
      </c>
      <c r="B17" s="2" t="s">
        <v>4</v>
      </c>
      <c r="C17" s="2" t="s">
        <v>66</v>
      </c>
      <c r="D17" s="2" t="s">
        <v>20</v>
      </c>
      <c r="E17" s="2" t="s">
        <v>44</v>
      </c>
      <c r="F17" s="2" t="s">
        <v>75</v>
      </c>
      <c r="G17" s="2">
        <v>5</v>
      </c>
      <c r="H17" s="2" t="s">
        <v>73</v>
      </c>
      <c r="I17" s="2" t="s">
        <v>50</v>
      </c>
      <c r="J17" s="3" t="s">
        <v>42</v>
      </c>
      <c r="K17" s="2" t="s">
        <v>38</v>
      </c>
      <c r="L17" s="3" t="s">
        <v>71</v>
      </c>
      <c r="M17" s="3" t="s">
        <v>32</v>
      </c>
      <c r="N17" s="3" t="s">
        <v>28</v>
      </c>
    </row>
    <row r="18" ht="17" spans="1:14">
      <c r="A18" s="2">
        <v>17</v>
      </c>
      <c r="B18" s="2" t="s">
        <v>4</v>
      </c>
      <c r="C18" s="2" t="s">
        <v>66</v>
      </c>
      <c r="D18" s="2" t="s">
        <v>20</v>
      </c>
      <c r="E18" s="2" t="s">
        <v>75</v>
      </c>
      <c r="F18" s="2" t="s">
        <v>76</v>
      </c>
      <c r="G18" s="2">
        <v>8</v>
      </c>
      <c r="H18" s="2" t="s">
        <v>73</v>
      </c>
      <c r="I18" s="2" t="s">
        <v>50</v>
      </c>
      <c r="J18" s="3" t="s">
        <v>42</v>
      </c>
      <c r="K18" s="2" t="s">
        <v>38</v>
      </c>
      <c r="L18" s="3" t="s">
        <v>71</v>
      </c>
      <c r="M18" s="3" t="s">
        <v>32</v>
      </c>
      <c r="N18" s="3" t="s">
        <v>28</v>
      </c>
    </row>
    <row r="19" ht="17" spans="1:14">
      <c r="A19" s="2">
        <v>18</v>
      </c>
      <c r="B19" s="2" t="s">
        <v>4</v>
      </c>
      <c r="C19" s="2" t="s">
        <v>66</v>
      </c>
      <c r="D19" s="2" t="s">
        <v>20</v>
      </c>
      <c r="E19" s="2" t="s">
        <v>76</v>
      </c>
      <c r="F19" s="2" t="s">
        <v>77</v>
      </c>
      <c r="G19" s="2">
        <v>8</v>
      </c>
      <c r="H19" s="2" t="s">
        <v>73</v>
      </c>
      <c r="I19" s="2" t="s">
        <v>50</v>
      </c>
      <c r="J19" s="3" t="s">
        <v>42</v>
      </c>
      <c r="K19" s="2" t="s">
        <v>38</v>
      </c>
      <c r="L19" s="3" t="s">
        <v>71</v>
      </c>
      <c r="M19" s="3" t="s">
        <v>32</v>
      </c>
      <c r="N19" s="3" t="s">
        <v>28</v>
      </c>
    </row>
    <row r="20" ht="17" spans="1:14">
      <c r="A20" s="2">
        <v>19</v>
      </c>
      <c r="B20" s="2" t="s">
        <v>4</v>
      </c>
      <c r="C20" s="2" t="s">
        <v>66</v>
      </c>
      <c r="D20" s="2" t="s">
        <v>20</v>
      </c>
      <c r="E20" s="2" t="s">
        <v>77</v>
      </c>
      <c r="F20" s="2" t="s">
        <v>53</v>
      </c>
      <c r="G20" s="2">
        <v>11</v>
      </c>
      <c r="H20" s="2" t="s">
        <v>73</v>
      </c>
      <c r="I20" s="2" t="s">
        <v>50</v>
      </c>
      <c r="J20" s="3" t="s">
        <v>42</v>
      </c>
      <c r="K20" s="2" t="s">
        <v>38</v>
      </c>
      <c r="L20" s="3" t="s">
        <v>71</v>
      </c>
      <c r="M20" s="3" t="s">
        <v>32</v>
      </c>
      <c r="N20" s="3" t="s">
        <v>28</v>
      </c>
    </row>
    <row r="21" ht="17" spans="1:14">
      <c r="A21" s="2">
        <v>20</v>
      </c>
      <c r="B21" s="2" t="s">
        <v>4</v>
      </c>
      <c r="C21" s="2" t="s">
        <v>66</v>
      </c>
      <c r="D21" s="2" t="s">
        <v>20</v>
      </c>
      <c r="E21" s="2" t="s">
        <v>53</v>
      </c>
      <c r="F21" s="2" t="s">
        <v>29</v>
      </c>
      <c r="G21" s="2">
        <v>7</v>
      </c>
      <c r="H21" s="2" t="s">
        <v>73</v>
      </c>
      <c r="I21" s="2" t="s">
        <v>50</v>
      </c>
      <c r="J21" s="3" t="s">
        <v>73</v>
      </c>
      <c r="K21" s="2" t="s">
        <v>38</v>
      </c>
      <c r="L21" s="3" t="s">
        <v>71</v>
      </c>
      <c r="M21" s="3" t="s">
        <v>32</v>
      </c>
      <c r="N21" s="3" t="s">
        <v>28</v>
      </c>
    </row>
    <row r="22" ht="17" spans="1:14">
      <c r="A22" s="2">
        <v>21</v>
      </c>
      <c r="B22" s="2" t="s">
        <v>4</v>
      </c>
      <c r="C22" s="2" t="s">
        <v>66</v>
      </c>
      <c r="D22" s="2" t="s">
        <v>20</v>
      </c>
      <c r="E22" s="2" t="s">
        <v>33</v>
      </c>
      <c r="F22" s="2" t="s">
        <v>78</v>
      </c>
      <c r="G22" s="2">
        <v>21</v>
      </c>
      <c r="H22" s="2" t="s">
        <v>73</v>
      </c>
      <c r="I22" s="2" t="s">
        <v>50</v>
      </c>
      <c r="J22" s="3" t="s">
        <v>73</v>
      </c>
      <c r="K22" s="2" t="s">
        <v>35</v>
      </c>
      <c r="L22" s="3" t="s">
        <v>71</v>
      </c>
      <c r="M22" s="3" t="s">
        <v>32</v>
      </c>
      <c r="N22" s="3" t="s">
        <v>28</v>
      </c>
    </row>
    <row r="23" ht="17" spans="1:14">
      <c r="A23" s="2">
        <v>22</v>
      </c>
      <c r="B23" s="2" t="s">
        <v>4</v>
      </c>
      <c r="C23" s="2" t="s">
        <v>66</v>
      </c>
      <c r="D23" s="2" t="s">
        <v>20</v>
      </c>
      <c r="E23" s="2" t="s">
        <v>79</v>
      </c>
      <c r="F23" s="2" t="s">
        <v>80</v>
      </c>
      <c r="G23" s="2">
        <v>5</v>
      </c>
      <c r="H23" s="2" t="s">
        <v>73</v>
      </c>
      <c r="I23" s="2" t="s">
        <v>50</v>
      </c>
      <c r="J23" s="3" t="s">
        <v>73</v>
      </c>
      <c r="K23" s="2" t="s">
        <v>35</v>
      </c>
      <c r="L23" s="3" t="s">
        <v>71</v>
      </c>
      <c r="M23" s="3" t="s">
        <v>32</v>
      </c>
      <c r="N23" s="3" t="s">
        <v>28</v>
      </c>
    </row>
    <row r="24" ht="17" spans="1:14">
      <c r="A24" s="2">
        <v>23</v>
      </c>
      <c r="B24" s="2" t="s">
        <v>4</v>
      </c>
      <c r="C24" s="2" t="s">
        <v>66</v>
      </c>
      <c r="D24" s="2" t="s">
        <v>20</v>
      </c>
      <c r="E24" s="2" t="s">
        <v>80</v>
      </c>
      <c r="F24" s="2" t="s">
        <v>81</v>
      </c>
      <c r="G24" s="2">
        <v>8</v>
      </c>
      <c r="H24" s="2" t="s">
        <v>73</v>
      </c>
      <c r="I24" s="2" t="s">
        <v>50</v>
      </c>
      <c r="J24" s="3" t="s">
        <v>73</v>
      </c>
      <c r="K24" s="2" t="s">
        <v>38</v>
      </c>
      <c r="L24" s="3" t="s">
        <v>71</v>
      </c>
      <c r="M24" s="3" t="s">
        <v>32</v>
      </c>
      <c r="N24" s="3" t="s">
        <v>28</v>
      </c>
    </row>
    <row r="25" ht="17" spans="1:14">
      <c r="A25" s="2">
        <v>24</v>
      </c>
      <c r="B25" s="2" t="s">
        <v>4</v>
      </c>
      <c r="C25" s="2" t="s">
        <v>66</v>
      </c>
      <c r="D25" s="2" t="s">
        <v>20</v>
      </c>
      <c r="E25" s="2" t="s">
        <v>82</v>
      </c>
      <c r="F25" s="2" t="s">
        <v>83</v>
      </c>
      <c r="G25" s="2">
        <v>21</v>
      </c>
      <c r="H25" s="2" t="s">
        <v>73</v>
      </c>
      <c r="I25" s="2" t="s">
        <v>50</v>
      </c>
      <c r="J25" s="3" t="s">
        <v>73</v>
      </c>
      <c r="K25" s="2" t="s">
        <v>38</v>
      </c>
      <c r="L25" s="3" t="s">
        <v>71</v>
      </c>
      <c r="M25" s="3" t="s">
        <v>32</v>
      </c>
      <c r="N25" s="3" t="s">
        <v>28</v>
      </c>
    </row>
    <row r="26" ht="17" spans="1:14">
      <c r="A26" s="2">
        <v>25</v>
      </c>
      <c r="B26" s="2" t="s">
        <v>4</v>
      </c>
      <c r="C26" s="2" t="s">
        <v>66</v>
      </c>
      <c r="D26" s="2" t="s">
        <v>20</v>
      </c>
      <c r="E26" s="2" t="s">
        <v>84</v>
      </c>
      <c r="F26" s="2" t="s">
        <v>41</v>
      </c>
      <c r="G26" s="2">
        <v>9</v>
      </c>
      <c r="H26" s="2" t="s">
        <v>50</v>
      </c>
      <c r="I26" s="2" t="s">
        <v>24</v>
      </c>
      <c r="J26" s="3" t="s">
        <v>50</v>
      </c>
      <c r="K26" s="2" t="s">
        <v>25</v>
      </c>
      <c r="L26" s="3" t="s">
        <v>85</v>
      </c>
      <c r="M26" s="3" t="s">
        <v>32</v>
      </c>
      <c r="N26" s="3" t="s">
        <v>28</v>
      </c>
    </row>
  </sheetData>
  <sortState ref="A2:N26">
    <sortCondition ref="B2:B26"/>
    <sortCondition ref="E2:E26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出差记录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Aluya</cp:lastModifiedBy>
  <dcterms:created xsi:type="dcterms:W3CDTF">2026-04-15T21:56:00Z</dcterms:created>
  <dcterms:modified xsi:type="dcterms:W3CDTF">2026-04-23T09:46:49Z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13CD9652550F4DA98899DF692008C748_42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